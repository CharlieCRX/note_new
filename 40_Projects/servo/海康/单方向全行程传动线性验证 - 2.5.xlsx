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<sst xmlns="http://schemas.openxmlformats.org/spreadsheetml/2006/main" count="6" uniqueCount="6">
  <si>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</t>
  </si>
  <si>
    <t>θ_motor_raw (°)
电机原始角度</t>
  </si>
  <si>
    <t>θ_load_raw (°)
负载编码器原始角度</t>
  </si>
  <si>
    <t>θ_load_unwrap (°)
负载连续角度</t>
  </si>
  <si>
    <t>Δθ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</si>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</sst>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Δθ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Sheet1!$E$2:$E$118</c:f>
              <c:numCache>
                <c:formatCode>General</c:formatCode>
                <c:ptCount val="117"/>
                <c:pt idx="0">
                  <c:v>0</c:v>
                </c:pt>
                <c:pt idx="1">
                  <c:v>0.0299999999999994</c:v>
                </c:pt>
                <c:pt idx="2">
                  <c:v>0.0699999999999932</c:v>
                </c:pt>
                <c:pt idx="3">
                  <c:v>0.0900000000000034</c:v>
                </c:pt>
                <c:pt idx="4">
                  <c:v>0.0800000000000125</c:v>
                </c:pt>
                <c:pt idx="5">
                  <c:v>0.0800000000000125</c:v>
                </c:pt>
                <c:pt idx="6">
                  <c:v>0.100000000000023</c:v>
                </c:pt>
                <c:pt idx="7">
                  <c:v>0.100000000000023</c:v>
                </c:pt>
                <c:pt idx="8">
                  <c:v>0.0900000000000318</c:v>
                </c:pt>
                <c:pt idx="9">
                  <c:v>0.0500000000000114</c:v>
                </c:pt>
                <c:pt idx="10">
                  <c:v>-0.0199999999999818</c:v>
                </c:pt>
                <c:pt idx="11">
                  <c:v>-0.0699999999999932</c:v>
                </c:pt>
                <c:pt idx="12">
                  <c:v>-0.100000000000023</c:v>
                </c:pt>
                <c:pt idx="13">
                  <c:v>-0.170000000000016</c:v>
                </c:pt>
                <c:pt idx="14">
                  <c:v>-0.160000000000025</c:v>
                </c:pt>
                <c:pt idx="15">
                  <c:v>-0.139999999999986</c:v>
                </c:pt>
                <c:pt idx="16">
                  <c:v>-0.129999999999995</c:v>
                </c:pt>
                <c:pt idx="17">
                  <c:v>-0.0500000000000114</c:v>
                </c:pt>
                <c:pt idx="18">
                  <c:v>0.00999999999999091</c:v>
                </c:pt>
                <c:pt idx="19">
                  <c:v>0.0800000000000409</c:v>
                </c:pt>
                <c:pt idx="20">
                  <c:v>0.129999999999995</c:v>
                </c:pt>
                <c:pt idx="21">
                  <c:v>0.139999999999986</c:v>
                </c:pt>
                <c:pt idx="22">
                  <c:v>0.110000000000014</c:v>
                </c:pt>
                <c:pt idx="23">
                  <c:v>-0.0199999999999818</c:v>
                </c:pt>
                <c:pt idx="24">
                  <c:v>0.0200000000000387</c:v>
                </c:pt>
                <c:pt idx="25">
                  <c:v>0.0200000000000387</c:v>
                </c:pt>
                <c:pt idx="26">
                  <c:v>0.00999999999999091</c:v>
                </c:pt>
                <c:pt idx="27">
                  <c:v>0.00999999999999091</c:v>
                </c:pt>
                <c:pt idx="28">
                  <c:v>0</c:v>
                </c:pt>
                <c:pt idx="29">
                  <c:v>0.00999999999999091</c:v>
                </c:pt>
                <c:pt idx="30">
                  <c:v>0.00999999999999091</c:v>
                </c:pt>
                <c:pt idx="31">
                  <c:v>-0.0199999999999818</c:v>
                </c:pt>
                <c:pt idx="32">
                  <c:v>0</c:v>
                </c:pt>
                <c:pt idx="33">
                  <c:v>-0.0199999999999818</c:v>
                </c:pt>
                <c:pt idx="34">
                  <c:v>-0.0299999999999727</c:v>
                </c:pt>
                <c:pt idx="35">
                  <c:v>0</c:v>
                </c:pt>
                <c:pt idx="36">
                  <c:v>0.0199999999999818</c:v>
                </c:pt>
                <c:pt idx="37">
                  <c:v>0.0599999999999454</c:v>
                </c:pt>
                <c:pt idx="38">
                  <c:v>0.0899999999999181</c:v>
                </c:pt>
                <c:pt idx="39">
                  <c:v>0.0999999999999091</c:v>
                </c:pt>
                <c:pt idx="40">
                  <c:v>0.0799999999999272</c:v>
                </c:pt>
                <c:pt idx="41">
                  <c:v>0.0599999999999454</c:v>
                </c:pt>
                <c:pt idx="42">
                  <c:v>0.0899999999999181</c:v>
                </c:pt>
                <c:pt idx="43">
                  <c:v>0.0799999999999272</c:v>
                </c:pt>
                <c:pt idx="44">
                  <c:v>0.0499999999999545</c:v>
                </c:pt>
                <c:pt idx="45">
                  <c:v>0.00999999999999091</c:v>
                </c:pt>
                <c:pt idx="46">
                  <c:v>-0.0299999999999727</c:v>
                </c:pt>
                <c:pt idx="47">
                  <c:v>-0.0899999999999181</c:v>
                </c:pt>
                <c:pt idx="48">
                  <c:v>-0.1099999999999</c:v>
                </c:pt>
                <c:pt idx="49">
                  <c:v>-0.169999999999845</c:v>
                </c:pt>
                <c:pt idx="50">
                  <c:v>-0.129999999999882</c:v>
                </c:pt>
                <c:pt idx="51">
                  <c:v>-0.119999999999891</c:v>
                </c:pt>
                <c:pt idx="52">
                  <c:v>-0.0899999999999181</c:v>
                </c:pt>
                <c:pt idx="53">
                  <c:v>-0.0299999999999727</c:v>
                </c:pt>
                <c:pt idx="54">
                  <c:v>0.0199999999999818</c:v>
                </c:pt>
                <c:pt idx="55">
                  <c:v>0.0999999999999091</c:v>
                </c:pt>
                <c:pt idx="56">
                  <c:v>0.169999999999845</c:v>
                </c:pt>
                <c:pt idx="57">
                  <c:v>0.159999999999854</c:v>
                </c:pt>
                <c:pt idx="58">
                  <c:v>0.129999999999882</c:v>
                </c:pt>
                <c:pt idx="59">
                  <c:v>-0.0100000000001046</c:v>
                </c:pt>
                <c:pt idx="60">
                  <c:v>0.0199999999998681</c:v>
                </c:pt>
                <c:pt idx="61">
                  <c:v>0.0499999999998408</c:v>
                </c:pt>
                <c:pt idx="62">
                  <c:v>0.0199999999997544</c:v>
                </c:pt>
                <c:pt idx="63">
                  <c:v>0.0399999999997362</c:v>
                </c:pt>
                <c:pt idx="64">
                  <c:v>0.0299999999997453</c:v>
                </c:pt>
                <c:pt idx="65">
                  <c:v>0.0399999999997362</c:v>
                </c:pt>
                <c:pt idx="66">
                  <c:v>0.0299999999997453</c:v>
                </c:pt>
                <c:pt idx="67">
                  <c:v>0</c:v>
                </c:pt>
                <c:pt idx="68">
                  <c:v>0.0199999999997544</c:v>
                </c:pt>
                <c:pt idx="69">
                  <c:v>-0.0100000000002183</c:v>
                </c:pt>
                <c:pt idx="70">
                  <c:v>-0.0200000000002092</c:v>
                </c:pt>
                <c:pt idx="71">
                  <c:v>0</c:v>
                </c:pt>
                <c:pt idx="72">
                  <c:v>0.0299999999997453</c:v>
                </c:pt>
                <c:pt idx="73">
                  <c:v>0.0799999999996999</c:v>
                </c:pt>
                <c:pt idx="74">
                  <c:v>0.0999999999996817</c:v>
                </c:pt>
                <c:pt idx="75">
                  <c:v>0.0999999999996817</c:v>
                </c:pt>
                <c:pt idx="76">
                  <c:v>0.0899999999996908</c:v>
                </c:pt>
                <c:pt idx="77">
                  <c:v>0.0899999999996908</c:v>
                </c:pt>
                <c:pt idx="78">
                  <c:v>0.0999999999996817</c:v>
                </c:pt>
                <c:pt idx="79">
                  <c:v>0.0999999999996817</c:v>
                </c:pt>
                <c:pt idx="80">
                  <c:v>0.0899999999996908</c:v>
                </c:pt>
                <c:pt idx="81">
                  <c:v>-0.010000000000332</c:v>
                </c:pt>
                <c:pt idx="82">
                  <c:v>-0.0200000000003229</c:v>
                </c:pt>
                <c:pt idx="83">
                  <c:v>-0.0900000000003729</c:v>
                </c:pt>
                <c:pt idx="84">
                  <c:v>-0.110000000000355</c:v>
                </c:pt>
                <c:pt idx="85">
                  <c:v>-0.150000000000318</c:v>
                </c:pt>
                <c:pt idx="86">
                  <c:v>-0.140000000000327</c:v>
                </c:pt>
                <c:pt idx="87">
                  <c:v>-0.120000000000346</c:v>
                </c:pt>
                <c:pt idx="88">
                  <c:v>-0.100000000000364</c:v>
                </c:pt>
                <c:pt idx="89">
                  <c:v>-0.0200000000004366</c:v>
                </c:pt>
                <c:pt idx="90">
                  <c:v>0.00999999999953616</c:v>
                </c:pt>
                <c:pt idx="91">
                  <c:v>0.109999999999673</c:v>
                </c:pt>
                <c:pt idx="92">
                  <c:v>0.179999999999609</c:v>
                </c:pt>
                <c:pt idx="93">
                  <c:v>0.169999999999618</c:v>
                </c:pt>
                <c:pt idx="94">
                  <c:v>0.159999999999627</c:v>
                </c:pt>
                <c:pt idx="95">
                  <c:v>-0.0100000000004457</c:v>
                </c:pt>
                <c:pt idx="96">
                  <c:v>0.029999999999518</c:v>
                </c:pt>
                <c:pt idx="97">
                  <c:v>0.0399999999995089</c:v>
                </c:pt>
                <c:pt idx="98">
                  <c:v>0.029999999999518</c:v>
                </c:pt>
                <c:pt idx="99">
                  <c:v>0.0499999999994998</c:v>
                </c:pt>
                <c:pt idx="100">
                  <c:v>0.0399999999995089</c:v>
                </c:pt>
                <c:pt idx="101">
                  <c:v>0.0599999999994907</c:v>
                </c:pt>
                <c:pt idx="102">
                  <c:v>0.029999999999518</c:v>
                </c:pt>
                <c:pt idx="103">
                  <c:v>0.0199999999995271</c:v>
                </c:pt>
                <c:pt idx="104">
                  <c:v>0.0199999999995271</c:v>
                </c:pt>
                <c:pt idx="105">
                  <c:v>0.00999999999953616</c:v>
                </c:pt>
                <c:pt idx="106">
                  <c:v>-0.0100000000004457</c:v>
                </c:pt>
                <c:pt idx="107">
                  <c:v>0.0199999999995271</c:v>
                </c:pt>
                <c:pt idx="108">
                  <c:v>0.0599999999994907</c:v>
                </c:pt>
                <c:pt idx="109">
                  <c:v>0.0899999999994634</c:v>
                </c:pt>
                <c:pt idx="110">
                  <c:v>0.0999999999994543</c:v>
                </c:pt>
                <c:pt idx="111">
                  <c:v>0.109999999999445</c:v>
                </c:pt>
                <c:pt idx="112">
                  <c:v>0.0799999999994725</c:v>
                </c:pt>
                <c:pt idx="113">
                  <c:v>0.0899999999994634</c:v>
                </c:pt>
                <c:pt idx="114">
                  <c:v>0.109999999999445</c:v>
                </c:pt>
                <c:pt idx="115">
                  <c:v>0.0899999999994634</c:v>
                </c:pt>
                <c:pt idx="116">
                  <c:v>0.0699999999994816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40079"/>
        <c:axId val="329596138"/>
      </c:scatterChart>
      <c:valAx>
        <c:axId val="8676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96138"/>
        <c:crosses val="autoZero"/>
        <c:crossBetween val="midCat"/>
      </c:valAx>
      <c:valAx>
        <c:axId val="329596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640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a041f1-877f-4ff4-9e81-11caca8324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358140</xdr:colOff>
      <xdr:row>69</xdr:row>
      <xdr:rowOff>30480</xdr:rowOff>
    </xdr:from>
    <xdr:to>
      <xdr:col>17</xdr:col>
      <xdr:colOff>7620</xdr:colOff>
      <xdr:row>97</xdr:row>
      <xdr:rowOff>69215</xdr:rowOff>
    </xdr:to>
    <xdr:graphicFrame>
      <xdr:nvGraphicFramePr>
        <xdr:cNvPr id="7" name="图表 6"/>
        <xdr:cNvGraphicFramePr/>
      </xdr:nvGraphicFramePr>
      <xdr:xfrm>
        <a:off x="7437120" y="12819380"/>
        <a:ext cx="6964680" cy="5017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tabSelected="1" zoomScale="55" zoomScaleNormal="55" topLeftCell="B62" workbookViewId="0">
      <selection activeCell="U89" sqref="U89"/>
    </sheetView>
  </sheetViews>
  <sheetFormatPr defaultColWidth="8.72727272727273" defaultRowHeight="14" outlineLevelCol="5"/>
  <cols>
    <col min="2" max="2" width="22.5636363636364" customWidth="1"/>
    <col min="3" max="3" width="25.1272727272727" customWidth="1"/>
    <col min="4" max="4" width="22.5636363636364" customWidth="1"/>
    <col min="5" max="5" width="22.3636363636364" customWidth="1"/>
  </cols>
  <sheetData>
    <row r="1" s="1" customFormat="1" ht="5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f>10*(ROW()-2)</f>
        <v>0</v>
      </c>
      <c r="C2">
        <v>0</v>
      </c>
      <c r="D2">
        <v>0</v>
      </c>
      <c r="E2">
        <v>0</v>
      </c>
    </row>
    <row r="3" spans="1:6">
      <c r="A3">
        <v>2</v>
      </c>
      <c r="B3">
        <f t="shared" ref="B3:B12" si="0">10*(ROW()-2)</f>
        <v>10</v>
      </c>
      <c r="C3">
        <v>10.03</v>
      </c>
      <c r="D3">
        <f>C3</f>
        <v>10.03</v>
      </c>
      <c r="E3">
        <f>D3-B3</f>
        <v>0.0299999999999994</v>
      </c>
    </row>
    <row r="4" spans="1:6">
      <c r="A4">
        <v>3</v>
      </c>
      <c r="B4">
        <f t="shared" si="0"/>
        <v>20</v>
      </c>
      <c r="C4">
        <v>20.07</v>
      </c>
      <c r="D4">
        <f>D3+MOD(C4-C3+180,360)-180</f>
        <v>20.07</v>
      </c>
      <c r="E4">
        <f t="shared" ref="E4:E35" si="1">D4-B4</f>
        <v>0.0699999999999932</v>
      </c>
    </row>
    <row r="5" spans="1:6">
      <c r="A5">
        <v>4</v>
      </c>
      <c r="B5">
        <f t="shared" si="0"/>
        <v>30</v>
      </c>
      <c r="C5">
        <v>30.09</v>
      </c>
      <c r="D5">
        <f t="shared" ref="D5:D36" si="2">D4+MOD(C5-C4+180,360)-180</f>
        <v>30.09</v>
      </c>
      <c r="E5">
        <f t="shared" si="1"/>
        <v>0.0900000000000034</v>
      </c>
    </row>
    <row r="6" spans="1:6">
      <c r="A6">
        <v>5</v>
      </c>
      <c r="B6">
        <f t="shared" si="0"/>
        <v>40</v>
      </c>
      <c r="C6">
        <v>40.08</v>
      </c>
      <c r="D6">
        <f t="shared" si="2"/>
        <v>40.08</v>
      </c>
      <c r="E6">
        <f t="shared" si="1"/>
        <v>0.0800000000000125</v>
      </c>
    </row>
    <row r="7" spans="1:6">
      <c r="A7">
        <v>6</v>
      </c>
      <c r="B7">
        <f t="shared" si="0"/>
        <v>50</v>
      </c>
      <c r="C7">
        <v>50.08</v>
      </c>
      <c r="D7">
        <f t="shared" si="2"/>
        <v>50.08</v>
      </c>
      <c r="E7">
        <f t="shared" si="1"/>
        <v>0.0800000000000125</v>
      </c>
    </row>
    <row r="8" spans="1:6">
      <c r="A8">
        <v>7</v>
      </c>
      <c r="B8">
        <f t="shared" si="0"/>
        <v>60</v>
      </c>
      <c r="C8">
        <v>60.1</v>
      </c>
      <c r="D8">
        <f t="shared" si="2"/>
        <v>60.1</v>
      </c>
      <c r="E8">
        <f t="shared" si="1"/>
        <v>0.100000000000023</v>
      </c>
    </row>
    <row r="9" spans="1:6">
      <c r="A9">
        <v>8</v>
      </c>
      <c r="B9">
        <f t="shared" si="0"/>
        <v>70</v>
      </c>
      <c r="C9">
        <v>70.1</v>
      </c>
      <c r="D9">
        <f t="shared" si="2"/>
        <v>70.1</v>
      </c>
      <c r="E9">
        <f t="shared" si="1"/>
        <v>0.100000000000023</v>
      </c>
    </row>
    <row r="10" spans="1:6">
      <c r="A10">
        <v>9</v>
      </c>
      <c r="B10">
        <f t="shared" si="0"/>
        <v>80</v>
      </c>
      <c r="C10" s="3">
        <v>80.09</v>
      </c>
      <c r="D10">
        <f t="shared" si="2"/>
        <v>80.09</v>
      </c>
      <c r="E10">
        <f t="shared" si="1"/>
        <v>0.0900000000000318</v>
      </c>
    </row>
    <row r="11" spans="1:6">
      <c r="A11">
        <v>10</v>
      </c>
      <c r="B11">
        <f t="shared" si="0"/>
        <v>90</v>
      </c>
      <c r="C11">
        <v>90.05</v>
      </c>
      <c r="D11">
        <f t="shared" si="2"/>
        <v>90.05</v>
      </c>
      <c r="E11">
        <f t="shared" si="1"/>
        <v>0.0500000000000114</v>
      </c>
    </row>
    <row r="12" spans="1:6">
      <c r="A12">
        <v>11</v>
      </c>
      <c r="B12">
        <f t="shared" si="0"/>
        <v>100</v>
      </c>
      <c r="C12">
        <v>99.98</v>
      </c>
      <c r="D12">
        <f t="shared" si="2"/>
        <v>99.98</v>
      </c>
      <c r="E12">
        <f t="shared" si="1"/>
        <v>-0.0199999999999818</v>
      </c>
    </row>
    <row r="13" spans="1:6">
      <c r="A13">
        <v>12</v>
      </c>
      <c r="B13">
        <f t="shared" ref="B13:B22" si="3">10*(ROW()-2)</f>
        <v>110</v>
      </c>
      <c r="C13" s="4">
        <v>109.93</v>
      </c>
      <c r="D13">
        <f t="shared" si="2"/>
        <v>109.93</v>
      </c>
      <c r="E13">
        <f t="shared" si="1"/>
        <v>-0.0699999999999932</v>
      </c>
    </row>
    <row r="14" spans="1:6">
      <c r="A14">
        <v>13</v>
      </c>
      <c r="B14">
        <f t="shared" si="3"/>
        <v>120</v>
      </c>
      <c r="C14">
        <v>119.9</v>
      </c>
      <c r="D14">
        <f t="shared" si="2"/>
        <v>119.9</v>
      </c>
      <c r="E14">
        <f t="shared" si="1"/>
        <v>-0.100000000000023</v>
      </c>
    </row>
    <row r="15" spans="1:6">
      <c r="A15">
        <v>14</v>
      </c>
      <c r="B15">
        <f t="shared" si="3"/>
        <v>130</v>
      </c>
      <c r="C15">
        <v>129.83</v>
      </c>
      <c r="D15">
        <f t="shared" si="2"/>
        <v>129.83</v>
      </c>
      <c r="E15">
        <f t="shared" si="1"/>
        <v>-0.170000000000016</v>
      </c>
    </row>
    <row r="16" spans="1:6">
      <c r="A16">
        <v>15</v>
      </c>
      <c r="B16">
        <f t="shared" si="3"/>
        <v>140</v>
      </c>
      <c r="C16">
        <v>139.84</v>
      </c>
      <c r="D16">
        <f t="shared" si="2"/>
        <v>139.84</v>
      </c>
      <c r="E16">
        <f t="shared" si="1"/>
        <v>-0.160000000000025</v>
      </c>
    </row>
    <row r="17" spans="1:5">
      <c r="A17">
        <v>16</v>
      </c>
      <c r="B17">
        <f t="shared" si="3"/>
        <v>150</v>
      </c>
      <c r="C17">
        <v>149.86</v>
      </c>
      <c r="D17">
        <f t="shared" si="2"/>
        <v>149.86</v>
      </c>
      <c r="E17">
        <f t="shared" si="1"/>
        <v>-0.139999999999986</v>
      </c>
    </row>
    <row r="18" spans="1:5">
      <c r="A18">
        <v>17</v>
      </c>
      <c r="B18">
        <f t="shared" si="3"/>
        <v>160</v>
      </c>
      <c r="C18">
        <v>159.87</v>
      </c>
      <c r="D18">
        <f t="shared" si="2"/>
        <v>159.87</v>
      </c>
      <c r="E18">
        <f t="shared" si="1"/>
        <v>-0.129999999999995</v>
      </c>
    </row>
    <row r="19" spans="1:5">
      <c r="A19">
        <v>18</v>
      </c>
      <c r="B19">
        <f t="shared" si="3"/>
        <v>170</v>
      </c>
      <c r="C19">
        <v>169.95</v>
      </c>
      <c r="D19">
        <f t="shared" si="2"/>
        <v>169.95</v>
      </c>
      <c r="E19">
        <f t="shared" si="1"/>
        <v>-0.0500000000000114</v>
      </c>
    </row>
    <row r="20" spans="1:5">
      <c r="A20">
        <v>19</v>
      </c>
      <c r="B20">
        <f t="shared" si="3"/>
        <v>180</v>
      </c>
      <c r="C20">
        <v>180.01</v>
      </c>
      <c r="D20">
        <f t="shared" si="2"/>
        <v>180.01</v>
      </c>
      <c r="E20">
        <f t="shared" si="1"/>
        <v>0.00999999999999091</v>
      </c>
    </row>
    <row r="21" spans="1:5">
      <c r="A21">
        <v>20</v>
      </c>
      <c r="B21">
        <f t="shared" si="3"/>
        <v>190</v>
      </c>
      <c r="C21">
        <v>190.08</v>
      </c>
      <c r="D21">
        <f t="shared" si="2"/>
        <v>190.08</v>
      </c>
      <c r="E21">
        <f t="shared" si="1"/>
        <v>0.0800000000000409</v>
      </c>
    </row>
    <row r="22" spans="1:5">
      <c r="A22">
        <v>21</v>
      </c>
      <c r="B22">
        <f t="shared" si="3"/>
        <v>200</v>
      </c>
      <c r="C22">
        <v>200.13</v>
      </c>
      <c r="D22">
        <f t="shared" si="2"/>
        <v>200.13</v>
      </c>
      <c r="E22">
        <f t="shared" si="1"/>
        <v>0.129999999999995</v>
      </c>
    </row>
    <row r="23" spans="1:5">
      <c r="A23">
        <v>22</v>
      </c>
      <c r="B23">
        <f t="shared" ref="B23:B32" si="4">10*(ROW()-2)</f>
        <v>210</v>
      </c>
      <c r="C23">
        <v>210.14</v>
      </c>
      <c r="D23">
        <f t="shared" si="2"/>
        <v>210.14</v>
      </c>
      <c r="E23">
        <f t="shared" si="1"/>
        <v>0.139999999999986</v>
      </c>
    </row>
    <row r="24" spans="1:5">
      <c r="A24">
        <v>23</v>
      </c>
      <c r="B24">
        <f t="shared" si="4"/>
        <v>220</v>
      </c>
      <c r="C24">
        <v>220.11</v>
      </c>
      <c r="D24">
        <f t="shared" si="2"/>
        <v>220.11</v>
      </c>
      <c r="E24">
        <f t="shared" si="1"/>
        <v>0.110000000000014</v>
      </c>
    </row>
    <row r="25" spans="1:5">
      <c r="A25">
        <v>24</v>
      </c>
      <c r="B25">
        <f t="shared" si="4"/>
        <v>230</v>
      </c>
      <c r="C25">
        <v>229.98</v>
      </c>
      <c r="D25">
        <f t="shared" si="2"/>
        <v>229.98</v>
      </c>
      <c r="E25">
        <f t="shared" si="1"/>
        <v>-0.0199999999999818</v>
      </c>
    </row>
    <row r="26" spans="1:5">
      <c r="A26">
        <v>25</v>
      </c>
      <c r="B26">
        <f t="shared" si="4"/>
        <v>240</v>
      </c>
      <c r="C26">
        <v>240.02</v>
      </c>
      <c r="D26">
        <f t="shared" si="2"/>
        <v>240.02</v>
      </c>
      <c r="E26">
        <f t="shared" si="1"/>
        <v>0.0200000000000387</v>
      </c>
    </row>
    <row r="27" spans="1:5">
      <c r="A27">
        <v>26</v>
      </c>
      <c r="B27">
        <f t="shared" si="4"/>
        <v>250</v>
      </c>
      <c r="C27">
        <v>250.02</v>
      </c>
      <c r="D27">
        <f t="shared" si="2"/>
        <v>250.02</v>
      </c>
      <c r="E27">
        <f t="shared" si="1"/>
        <v>0.0200000000000387</v>
      </c>
    </row>
    <row r="28" spans="1:5">
      <c r="A28">
        <v>27</v>
      </c>
      <c r="B28">
        <f t="shared" si="4"/>
        <v>260</v>
      </c>
      <c r="C28">
        <v>260.01</v>
      </c>
      <c r="D28">
        <f t="shared" si="2"/>
        <v>260.01</v>
      </c>
      <c r="E28">
        <f t="shared" si="1"/>
        <v>0.00999999999999091</v>
      </c>
    </row>
    <row r="29" spans="1:5">
      <c r="A29">
        <v>28</v>
      </c>
      <c r="B29">
        <f t="shared" si="4"/>
        <v>270</v>
      </c>
      <c r="C29">
        <v>270.01</v>
      </c>
      <c r="D29">
        <f t="shared" si="2"/>
        <v>270.01</v>
      </c>
      <c r="E29">
        <f t="shared" si="1"/>
        <v>0.00999999999999091</v>
      </c>
    </row>
    <row r="30" spans="1:5">
      <c r="A30">
        <v>29</v>
      </c>
      <c r="B30">
        <f t="shared" si="4"/>
        <v>280</v>
      </c>
      <c r="C30" s="4">
        <v>280</v>
      </c>
      <c r="D30">
        <f t="shared" si="2"/>
        <v>280</v>
      </c>
      <c r="E30">
        <f t="shared" si="1"/>
        <v>0</v>
      </c>
    </row>
    <row r="31" spans="1:5">
      <c r="A31">
        <v>30</v>
      </c>
      <c r="B31">
        <f t="shared" si="4"/>
        <v>290</v>
      </c>
      <c r="C31">
        <v>290.01</v>
      </c>
      <c r="D31">
        <f t="shared" si="2"/>
        <v>290.01</v>
      </c>
      <c r="E31">
        <f t="shared" si="1"/>
        <v>0.00999999999999091</v>
      </c>
    </row>
    <row r="32" spans="1:5">
      <c r="A32">
        <v>31</v>
      </c>
      <c r="B32">
        <f t="shared" si="4"/>
        <v>300</v>
      </c>
      <c r="C32">
        <v>300.01</v>
      </c>
      <c r="D32">
        <f t="shared" si="2"/>
        <v>300.01</v>
      </c>
      <c r="E32">
        <f t="shared" si="1"/>
        <v>0.00999999999999091</v>
      </c>
    </row>
    <row r="33" spans="1:5">
      <c r="A33">
        <v>32</v>
      </c>
      <c r="B33">
        <f t="shared" ref="B33:B42" si="5">10*(ROW()-2)</f>
        <v>310</v>
      </c>
      <c r="C33">
        <v>309.98</v>
      </c>
      <c r="D33">
        <f t="shared" si="2"/>
        <v>309.98</v>
      </c>
      <c r="E33">
        <f t="shared" si="1"/>
        <v>-0.0199999999999818</v>
      </c>
    </row>
    <row r="34" spans="1:5">
      <c r="A34">
        <v>33</v>
      </c>
      <c r="B34">
        <f t="shared" si="5"/>
        <v>320</v>
      </c>
      <c r="C34">
        <v>320</v>
      </c>
      <c r="D34">
        <f t="shared" si="2"/>
        <v>320</v>
      </c>
      <c r="E34">
        <f t="shared" si="1"/>
        <v>0</v>
      </c>
    </row>
    <row r="35" spans="1:5">
      <c r="A35">
        <v>34</v>
      </c>
      <c r="B35">
        <f t="shared" si="5"/>
        <v>330</v>
      </c>
      <c r="C35">
        <v>329.98</v>
      </c>
      <c r="D35">
        <f t="shared" si="2"/>
        <v>329.98</v>
      </c>
      <c r="E35">
        <f t="shared" si="1"/>
        <v>-0.0199999999999818</v>
      </c>
    </row>
    <row r="36" spans="1:5">
      <c r="A36">
        <v>35</v>
      </c>
      <c r="B36">
        <f t="shared" si="5"/>
        <v>340</v>
      </c>
      <c r="C36">
        <v>339.97</v>
      </c>
      <c r="D36">
        <f t="shared" si="2"/>
        <v>339.97</v>
      </c>
      <c r="E36">
        <f t="shared" ref="E36:E52" si="6">D36-B36</f>
        <v>-0.0299999999999727</v>
      </c>
    </row>
    <row r="37" spans="1:5">
      <c r="A37">
        <v>36</v>
      </c>
      <c r="B37">
        <f t="shared" si="5"/>
        <v>350</v>
      </c>
      <c r="C37">
        <v>350</v>
      </c>
      <c r="D37">
        <f t="shared" ref="D37:D62" si="7">D36+MOD(C37-C36+180,360)-180</f>
        <v>350</v>
      </c>
      <c r="E37">
        <f t="shared" si="6"/>
        <v>0</v>
      </c>
    </row>
    <row r="38" spans="1:5">
      <c r="A38">
        <v>37</v>
      </c>
      <c r="B38">
        <f t="shared" si="5"/>
        <v>360</v>
      </c>
      <c r="C38">
        <v>0.02</v>
      </c>
      <c r="D38">
        <f t="shared" si="7"/>
        <v>360.02</v>
      </c>
      <c r="E38">
        <f t="shared" si="6"/>
        <v>0.0199999999999818</v>
      </c>
    </row>
    <row r="39" spans="1:5">
      <c r="A39">
        <v>38</v>
      </c>
      <c r="B39">
        <f t="shared" si="5"/>
        <v>370</v>
      </c>
      <c r="C39">
        <v>10.06</v>
      </c>
      <c r="D39">
        <f t="shared" si="7"/>
        <v>370.06</v>
      </c>
      <c r="E39">
        <f t="shared" si="6"/>
        <v>0.0599999999999454</v>
      </c>
    </row>
    <row r="40" spans="1:5">
      <c r="A40">
        <v>39</v>
      </c>
      <c r="B40">
        <f t="shared" si="5"/>
        <v>380</v>
      </c>
      <c r="C40">
        <v>20.09</v>
      </c>
      <c r="D40">
        <f t="shared" si="7"/>
        <v>380.09</v>
      </c>
      <c r="E40">
        <f t="shared" si="6"/>
        <v>0.0899999999999181</v>
      </c>
    </row>
    <row r="41" spans="1:5">
      <c r="A41">
        <v>40</v>
      </c>
      <c r="B41">
        <f t="shared" si="5"/>
        <v>390</v>
      </c>
      <c r="C41">
        <v>30.1</v>
      </c>
      <c r="D41">
        <f t="shared" si="7"/>
        <v>390.1</v>
      </c>
      <c r="E41">
        <f t="shared" si="6"/>
        <v>0.0999999999999091</v>
      </c>
    </row>
    <row r="42" spans="1:5">
      <c r="A42">
        <v>41</v>
      </c>
      <c r="B42">
        <f t="shared" si="5"/>
        <v>400</v>
      </c>
      <c r="C42">
        <v>40.08</v>
      </c>
      <c r="D42">
        <f t="shared" si="7"/>
        <v>400.08</v>
      </c>
      <c r="E42">
        <f t="shared" si="6"/>
        <v>0.0799999999999272</v>
      </c>
    </row>
    <row r="43" spans="1:5">
      <c r="A43">
        <v>42</v>
      </c>
      <c r="B43">
        <f t="shared" ref="B43:B52" si="8">10*(ROW()-2)</f>
        <v>410</v>
      </c>
      <c r="C43">
        <v>50.06</v>
      </c>
      <c r="D43">
        <f t="shared" si="7"/>
        <v>410.06</v>
      </c>
      <c r="E43">
        <f t="shared" si="6"/>
        <v>0.0599999999999454</v>
      </c>
    </row>
    <row r="44" spans="1:5">
      <c r="A44">
        <v>43</v>
      </c>
      <c r="B44">
        <f t="shared" si="8"/>
        <v>420</v>
      </c>
      <c r="C44">
        <v>60.09</v>
      </c>
      <c r="D44">
        <f t="shared" si="7"/>
        <v>420.09</v>
      </c>
      <c r="E44">
        <f t="shared" si="6"/>
        <v>0.0899999999999181</v>
      </c>
    </row>
    <row r="45" spans="1:5">
      <c r="A45">
        <v>44</v>
      </c>
      <c r="B45">
        <f t="shared" si="8"/>
        <v>430</v>
      </c>
      <c r="C45">
        <v>70.08</v>
      </c>
      <c r="D45">
        <f t="shared" si="7"/>
        <v>430.08</v>
      </c>
      <c r="E45">
        <f t="shared" si="6"/>
        <v>0.0799999999999272</v>
      </c>
    </row>
    <row r="46" spans="1:5">
      <c r="A46">
        <v>45</v>
      </c>
      <c r="B46">
        <f t="shared" si="8"/>
        <v>440</v>
      </c>
      <c r="C46">
        <v>80.05</v>
      </c>
      <c r="D46">
        <f t="shared" si="7"/>
        <v>440.05</v>
      </c>
      <c r="E46">
        <f t="shared" si="6"/>
        <v>0.0499999999999545</v>
      </c>
    </row>
    <row r="47" spans="1:5">
      <c r="A47">
        <v>46</v>
      </c>
      <c r="B47">
        <f t="shared" si="8"/>
        <v>450</v>
      </c>
      <c r="C47">
        <v>90.01</v>
      </c>
      <c r="D47">
        <f t="shared" si="7"/>
        <v>450.01</v>
      </c>
      <c r="E47">
        <f t="shared" si="6"/>
        <v>0.00999999999999091</v>
      </c>
    </row>
    <row r="48" spans="1:5">
      <c r="A48">
        <v>47</v>
      </c>
      <c r="B48">
        <f t="shared" si="8"/>
        <v>460</v>
      </c>
      <c r="C48">
        <v>99.97</v>
      </c>
      <c r="D48">
        <f t="shared" si="7"/>
        <v>459.97</v>
      </c>
      <c r="E48">
        <f t="shared" si="6"/>
        <v>-0.0299999999999727</v>
      </c>
    </row>
    <row r="49" spans="1:5">
      <c r="A49">
        <v>48</v>
      </c>
      <c r="B49">
        <f t="shared" si="8"/>
        <v>470</v>
      </c>
      <c r="C49">
        <v>109.91</v>
      </c>
      <c r="D49">
        <f t="shared" si="7"/>
        <v>469.91</v>
      </c>
      <c r="E49">
        <f t="shared" si="6"/>
        <v>-0.0899999999999181</v>
      </c>
    </row>
    <row r="50" spans="1:5">
      <c r="A50">
        <v>49</v>
      </c>
      <c r="B50">
        <f t="shared" si="8"/>
        <v>480</v>
      </c>
      <c r="C50">
        <v>119.89</v>
      </c>
      <c r="D50">
        <f t="shared" si="7"/>
        <v>479.89</v>
      </c>
      <c r="E50">
        <f t="shared" si="6"/>
        <v>-0.1099999999999</v>
      </c>
    </row>
    <row r="51" spans="1:5">
      <c r="A51">
        <v>50</v>
      </c>
      <c r="B51">
        <f t="shared" si="8"/>
        <v>490</v>
      </c>
      <c r="C51">
        <v>129.83</v>
      </c>
      <c r="D51">
        <f t="shared" si="7"/>
        <v>489.83</v>
      </c>
      <c r="E51">
        <f t="shared" si="6"/>
        <v>-0.169999999999845</v>
      </c>
    </row>
    <row r="52" spans="1:5">
      <c r="A52">
        <v>51</v>
      </c>
      <c r="B52">
        <f t="shared" si="8"/>
        <v>500</v>
      </c>
      <c r="C52">
        <v>139.87</v>
      </c>
      <c r="D52">
        <f t="shared" si="7"/>
        <v>499.87</v>
      </c>
      <c r="E52">
        <f t="shared" si="6"/>
        <v>-0.129999999999882</v>
      </c>
    </row>
    <row r="53" spans="1:5">
      <c r="A53">
        <v>52</v>
      </c>
      <c r="B53">
        <f t="shared" ref="B53:B62" si="9">10*(ROW()-2)</f>
        <v>510</v>
      </c>
      <c r="C53">
        <v>149.88</v>
      </c>
      <c r="D53">
        <f t="shared" si="7"/>
        <v>509.88</v>
      </c>
      <c r="E53">
        <f t="shared" ref="E53:E62" si="10">D53-B53</f>
        <v>-0.119999999999891</v>
      </c>
    </row>
    <row r="54" spans="1:5">
      <c r="A54">
        <v>53</v>
      </c>
      <c r="B54">
        <f t="shared" si="9"/>
        <v>520</v>
      </c>
      <c r="C54">
        <v>159.91</v>
      </c>
      <c r="D54">
        <f t="shared" si="7"/>
        <v>519.91</v>
      </c>
      <c r="E54">
        <f t="shared" si="10"/>
        <v>-0.0899999999999181</v>
      </c>
    </row>
    <row r="55" spans="1:5">
      <c r="A55">
        <v>54</v>
      </c>
      <c r="B55">
        <f t="shared" si="9"/>
        <v>530</v>
      </c>
      <c r="C55">
        <v>169.97</v>
      </c>
      <c r="D55">
        <f t="shared" si="7"/>
        <v>529.97</v>
      </c>
      <c r="E55">
        <f t="shared" si="10"/>
        <v>-0.0299999999999727</v>
      </c>
    </row>
    <row r="56" spans="1:5">
      <c r="A56">
        <v>55</v>
      </c>
      <c r="B56">
        <f t="shared" si="9"/>
        <v>540</v>
      </c>
      <c r="C56">
        <v>180.02</v>
      </c>
      <c r="D56">
        <f t="shared" si="7"/>
        <v>540.02</v>
      </c>
      <c r="E56">
        <f t="shared" si="10"/>
        <v>0.0199999999999818</v>
      </c>
    </row>
    <row r="57" spans="1:5">
      <c r="A57">
        <v>56</v>
      </c>
      <c r="B57">
        <f t="shared" si="9"/>
        <v>550</v>
      </c>
      <c r="C57">
        <v>190.1</v>
      </c>
      <c r="D57">
        <f t="shared" si="7"/>
        <v>550.1</v>
      </c>
      <c r="E57">
        <f t="shared" si="10"/>
        <v>0.0999999999999091</v>
      </c>
    </row>
    <row r="58" spans="1:5">
      <c r="A58">
        <v>57</v>
      </c>
      <c r="B58">
        <f t="shared" si="9"/>
        <v>560</v>
      </c>
      <c r="C58">
        <v>200.17</v>
      </c>
      <c r="D58">
        <f t="shared" si="7"/>
        <v>560.17</v>
      </c>
      <c r="E58">
        <f t="shared" si="10"/>
        <v>0.169999999999845</v>
      </c>
    </row>
    <row r="59" spans="1:5">
      <c r="A59">
        <v>58</v>
      </c>
      <c r="B59">
        <f t="shared" si="9"/>
        <v>570</v>
      </c>
      <c r="C59">
        <v>210.16</v>
      </c>
      <c r="D59">
        <f t="shared" si="7"/>
        <v>570.16</v>
      </c>
      <c r="E59">
        <f t="shared" si="10"/>
        <v>0.159999999999854</v>
      </c>
    </row>
    <row r="60" spans="1:5">
      <c r="A60">
        <v>59</v>
      </c>
      <c r="B60">
        <f t="shared" si="9"/>
        <v>580</v>
      </c>
      <c r="C60">
        <v>220.13</v>
      </c>
      <c r="D60">
        <f t="shared" si="7"/>
        <v>580.13</v>
      </c>
      <c r="E60">
        <f t="shared" si="10"/>
        <v>0.129999999999882</v>
      </c>
    </row>
    <row r="61" spans="1:5">
      <c r="A61">
        <v>60</v>
      </c>
      <c r="B61">
        <f t="shared" si="9"/>
        <v>590</v>
      </c>
      <c r="C61">
        <v>229.99</v>
      </c>
      <c r="D61">
        <f t="shared" si="7"/>
        <v>589.99</v>
      </c>
      <c r="E61">
        <f t="shared" si="10"/>
        <v>-0.0100000000001046</v>
      </c>
    </row>
    <row r="62" spans="1:5">
      <c r="A62">
        <v>61</v>
      </c>
      <c r="B62">
        <f t="shared" si="9"/>
        <v>600</v>
      </c>
      <c r="C62">
        <v>240.02</v>
      </c>
      <c r="D62">
        <f t="shared" si="7"/>
        <v>600.02</v>
      </c>
      <c r="E62">
        <f t="shared" si="10"/>
        <v>0.0199999999998681</v>
      </c>
    </row>
    <row r="63" spans="1:5">
      <c r="A63">
        <v>62</v>
      </c>
      <c r="B63">
        <f t="shared" ref="B63:B74" si="11">10*(ROW()-2)</f>
        <v>610</v>
      </c>
      <c r="C63">
        <v>250.05</v>
      </c>
      <c r="D63">
        <f t="shared" ref="D63:D74" si="12">D62+MOD(C63-C62+180,360)-180</f>
        <v>610.05</v>
      </c>
      <c r="E63">
        <f t="shared" ref="E63:E74" si="13">D63-B63</f>
        <v>0.0499999999998408</v>
      </c>
    </row>
    <row r="64" spans="1:5">
      <c r="A64">
        <v>63</v>
      </c>
      <c r="B64">
        <f t="shared" si="11"/>
        <v>620</v>
      </c>
      <c r="C64">
        <v>260.02</v>
      </c>
      <c r="D64">
        <f t="shared" si="12"/>
        <v>620.02</v>
      </c>
      <c r="E64">
        <f t="shared" si="13"/>
        <v>0.0199999999997544</v>
      </c>
    </row>
    <row r="65" spans="1:5">
      <c r="A65">
        <v>64</v>
      </c>
      <c r="B65">
        <f t="shared" si="11"/>
        <v>630</v>
      </c>
      <c r="C65">
        <v>270.04</v>
      </c>
      <c r="D65">
        <f t="shared" si="12"/>
        <v>630.04</v>
      </c>
      <c r="E65">
        <f t="shared" si="13"/>
        <v>0.0399999999997362</v>
      </c>
    </row>
    <row r="66" spans="1:5">
      <c r="A66">
        <v>65</v>
      </c>
      <c r="B66">
        <f t="shared" si="11"/>
        <v>640</v>
      </c>
      <c r="C66">
        <v>280.03</v>
      </c>
      <c r="D66">
        <f t="shared" si="12"/>
        <v>640.03</v>
      </c>
      <c r="E66">
        <f t="shared" si="13"/>
        <v>0.0299999999997453</v>
      </c>
    </row>
    <row r="67" spans="1:5">
      <c r="A67">
        <v>66</v>
      </c>
      <c r="B67">
        <f t="shared" si="11"/>
        <v>650</v>
      </c>
      <c r="C67">
        <v>290.04</v>
      </c>
      <c r="D67">
        <f t="shared" si="12"/>
        <v>650.04</v>
      </c>
      <c r="E67">
        <f t="shared" si="13"/>
        <v>0.0399999999997362</v>
      </c>
    </row>
    <row r="68" spans="1:5">
      <c r="A68">
        <v>67</v>
      </c>
      <c r="B68">
        <f t="shared" si="11"/>
        <v>660</v>
      </c>
      <c r="C68">
        <v>300.03</v>
      </c>
      <c r="D68">
        <f t="shared" si="12"/>
        <v>660.03</v>
      </c>
      <c r="E68">
        <f t="shared" si="13"/>
        <v>0.0299999999997453</v>
      </c>
    </row>
    <row r="69" spans="1:5">
      <c r="A69">
        <v>68</v>
      </c>
      <c r="B69">
        <f t="shared" si="11"/>
        <v>670</v>
      </c>
      <c r="C69">
        <v>310</v>
      </c>
      <c r="D69">
        <f t="shared" si="12"/>
        <v>670</v>
      </c>
      <c r="E69">
        <f t="shared" si="13"/>
        <v>0</v>
      </c>
    </row>
    <row r="70" spans="1:5">
      <c r="A70">
        <v>69</v>
      </c>
      <c r="B70">
        <f t="shared" si="11"/>
        <v>680</v>
      </c>
      <c r="C70">
        <v>320.02</v>
      </c>
      <c r="D70">
        <f t="shared" si="12"/>
        <v>680.02</v>
      </c>
      <c r="E70">
        <f t="shared" si="13"/>
        <v>0.0199999999997544</v>
      </c>
    </row>
    <row r="71" spans="1:5">
      <c r="A71">
        <v>70</v>
      </c>
      <c r="B71">
        <f t="shared" si="11"/>
        <v>690</v>
      </c>
      <c r="C71">
        <v>329.99</v>
      </c>
      <c r="D71">
        <f t="shared" si="12"/>
        <v>689.99</v>
      </c>
      <c r="E71">
        <f t="shared" si="13"/>
        <v>-0.0100000000002183</v>
      </c>
    </row>
    <row r="72" spans="1:5">
      <c r="A72">
        <v>71</v>
      </c>
      <c r="B72">
        <f t="shared" si="11"/>
        <v>700</v>
      </c>
      <c r="C72">
        <v>339.98</v>
      </c>
      <c r="D72">
        <f t="shared" si="12"/>
        <v>699.98</v>
      </c>
      <c r="E72">
        <f t="shared" si="13"/>
        <v>-0.0200000000002092</v>
      </c>
    </row>
    <row r="73" spans="1:5">
      <c r="A73">
        <v>72</v>
      </c>
      <c r="B73">
        <f t="shared" si="11"/>
        <v>710</v>
      </c>
      <c r="C73">
        <v>350</v>
      </c>
      <c r="D73">
        <f t="shared" si="12"/>
        <v>710</v>
      </c>
      <c r="E73">
        <f t="shared" si="13"/>
        <v>0</v>
      </c>
    </row>
    <row r="74" spans="1:5">
      <c r="A74">
        <v>73</v>
      </c>
      <c r="B74">
        <f t="shared" si="11"/>
        <v>720</v>
      </c>
      <c r="C74">
        <v>0.03</v>
      </c>
      <c r="D74">
        <f t="shared" si="12"/>
        <v>720.03</v>
      </c>
      <c r="E74">
        <f t="shared" si="13"/>
        <v>0.0299999999997453</v>
      </c>
    </row>
    <row r="75" spans="1:5">
      <c r="A75">
        <v>74</v>
      </c>
      <c r="B75">
        <f t="shared" ref="B75:B82" si="14">10*(ROW()-2)</f>
        <v>730</v>
      </c>
      <c r="C75">
        <v>10.08</v>
      </c>
      <c r="D75">
        <f t="shared" ref="D75:D82" si="15">D74+MOD(C75-C74+180,360)-180</f>
        <v>730.08</v>
      </c>
      <c r="E75">
        <f t="shared" ref="E75:E82" si="16">D75-B75</f>
        <v>0.0799999999996999</v>
      </c>
    </row>
    <row r="76" spans="1:5">
      <c r="A76">
        <v>75</v>
      </c>
      <c r="B76">
        <f t="shared" si="14"/>
        <v>740</v>
      </c>
      <c r="C76">
        <v>20.1</v>
      </c>
      <c r="D76">
        <f t="shared" si="15"/>
        <v>740.1</v>
      </c>
      <c r="E76">
        <f t="shared" si="16"/>
        <v>0.0999999999996817</v>
      </c>
    </row>
    <row r="77" spans="1:5">
      <c r="A77">
        <v>76</v>
      </c>
      <c r="B77">
        <f t="shared" si="14"/>
        <v>750</v>
      </c>
      <c r="C77">
        <v>30.1</v>
      </c>
      <c r="D77">
        <f t="shared" si="15"/>
        <v>750.1</v>
      </c>
      <c r="E77">
        <f t="shared" si="16"/>
        <v>0.0999999999996817</v>
      </c>
    </row>
    <row r="78" spans="1:5">
      <c r="A78">
        <v>77</v>
      </c>
      <c r="B78">
        <f t="shared" si="14"/>
        <v>760</v>
      </c>
      <c r="C78">
        <v>40.09</v>
      </c>
      <c r="D78">
        <f t="shared" si="15"/>
        <v>760.09</v>
      </c>
      <c r="E78">
        <f t="shared" si="16"/>
        <v>0.0899999999996908</v>
      </c>
    </row>
    <row r="79" spans="1:5">
      <c r="A79">
        <v>78</v>
      </c>
      <c r="B79">
        <f t="shared" si="14"/>
        <v>770</v>
      </c>
      <c r="C79">
        <v>50.09</v>
      </c>
      <c r="D79">
        <f t="shared" si="15"/>
        <v>770.09</v>
      </c>
      <c r="E79">
        <f t="shared" si="16"/>
        <v>0.0899999999996908</v>
      </c>
    </row>
    <row r="80" spans="1:5">
      <c r="A80">
        <v>79</v>
      </c>
      <c r="B80">
        <f t="shared" si="14"/>
        <v>780</v>
      </c>
      <c r="C80">
        <v>60.1</v>
      </c>
      <c r="D80">
        <f t="shared" si="15"/>
        <v>780.1</v>
      </c>
      <c r="E80">
        <f t="shared" si="16"/>
        <v>0.0999999999996817</v>
      </c>
    </row>
    <row r="81" spans="1:5">
      <c r="A81">
        <v>80</v>
      </c>
      <c r="B81">
        <f t="shared" si="14"/>
        <v>790</v>
      </c>
      <c r="C81">
        <v>70.1</v>
      </c>
      <c r="D81">
        <f t="shared" si="15"/>
        <v>790.1</v>
      </c>
      <c r="E81">
        <f t="shared" si="16"/>
        <v>0.0999999999996817</v>
      </c>
    </row>
    <row r="82" spans="1:5">
      <c r="A82">
        <v>81</v>
      </c>
      <c r="B82">
        <f t="shared" si="14"/>
        <v>800</v>
      </c>
      <c r="C82">
        <v>80.09</v>
      </c>
      <c r="D82">
        <f t="shared" si="15"/>
        <v>800.09</v>
      </c>
      <c r="E82">
        <f t="shared" si="16"/>
        <v>0.0899999999996908</v>
      </c>
    </row>
    <row r="83" spans="1:5">
      <c r="A83">
        <v>82</v>
      </c>
      <c r="B83">
        <f t="shared" ref="B83:B92" si="17">10*(ROW()-2)</f>
        <v>810</v>
      </c>
      <c r="C83">
        <v>89.99</v>
      </c>
      <c r="D83">
        <f t="shared" ref="D83:D118" si="18">D82+MOD(C83-C82+180,360)-180</f>
        <v>809.99</v>
      </c>
      <c r="E83">
        <f t="shared" ref="E83:E118" si="19">D83-B83</f>
        <v>-0.010000000000332</v>
      </c>
    </row>
    <row r="84" spans="1:5">
      <c r="A84">
        <v>83</v>
      </c>
      <c r="B84">
        <f t="shared" si="17"/>
        <v>820</v>
      </c>
      <c r="C84">
        <v>99.98</v>
      </c>
      <c r="D84">
        <f t="shared" si="18"/>
        <v>819.98</v>
      </c>
      <c r="E84">
        <f t="shared" si="19"/>
        <v>-0.0200000000003229</v>
      </c>
    </row>
    <row r="85" spans="1:5">
      <c r="A85">
        <v>84</v>
      </c>
      <c r="B85">
        <f t="shared" si="17"/>
        <v>830</v>
      </c>
      <c r="C85">
        <v>109.91</v>
      </c>
      <c r="D85">
        <f t="shared" si="18"/>
        <v>829.91</v>
      </c>
      <c r="E85">
        <f t="shared" si="19"/>
        <v>-0.0900000000003729</v>
      </c>
    </row>
    <row r="86" spans="1:5">
      <c r="A86">
        <v>85</v>
      </c>
      <c r="B86">
        <f t="shared" si="17"/>
        <v>840</v>
      </c>
      <c r="C86">
        <v>119.89</v>
      </c>
      <c r="D86">
        <f t="shared" si="18"/>
        <v>839.89</v>
      </c>
      <c r="E86">
        <f t="shared" si="19"/>
        <v>-0.110000000000355</v>
      </c>
    </row>
    <row r="87" spans="1:5">
      <c r="A87">
        <v>86</v>
      </c>
      <c r="B87">
        <f t="shared" si="17"/>
        <v>850</v>
      </c>
      <c r="C87">
        <v>129.85</v>
      </c>
      <c r="D87">
        <f t="shared" si="18"/>
        <v>849.85</v>
      </c>
      <c r="E87">
        <f t="shared" si="19"/>
        <v>-0.150000000000318</v>
      </c>
    </row>
    <row r="88" spans="1:5">
      <c r="A88">
        <v>87</v>
      </c>
      <c r="B88">
        <f t="shared" si="17"/>
        <v>860</v>
      </c>
      <c r="C88">
        <v>139.86</v>
      </c>
      <c r="D88">
        <f t="shared" si="18"/>
        <v>859.86</v>
      </c>
      <c r="E88">
        <f t="shared" si="19"/>
        <v>-0.140000000000327</v>
      </c>
    </row>
    <row r="89" spans="1:5">
      <c r="A89">
        <v>88</v>
      </c>
      <c r="B89">
        <f t="shared" si="17"/>
        <v>870</v>
      </c>
      <c r="C89">
        <v>149.88</v>
      </c>
      <c r="D89">
        <f t="shared" si="18"/>
        <v>869.88</v>
      </c>
      <c r="E89">
        <f t="shared" si="19"/>
        <v>-0.120000000000346</v>
      </c>
    </row>
    <row r="90" spans="1:5">
      <c r="A90">
        <v>89</v>
      </c>
      <c r="B90">
        <f t="shared" si="17"/>
        <v>880</v>
      </c>
      <c r="C90">
        <v>159.9</v>
      </c>
      <c r="D90">
        <f t="shared" si="18"/>
        <v>879.9</v>
      </c>
      <c r="E90">
        <f t="shared" si="19"/>
        <v>-0.100000000000364</v>
      </c>
    </row>
    <row r="91" spans="1:5">
      <c r="A91">
        <v>90</v>
      </c>
      <c r="B91">
        <f t="shared" si="17"/>
        <v>890</v>
      </c>
      <c r="C91">
        <v>169.98</v>
      </c>
      <c r="D91">
        <f t="shared" si="18"/>
        <v>889.98</v>
      </c>
      <c r="E91">
        <f t="shared" si="19"/>
        <v>-0.0200000000004366</v>
      </c>
    </row>
    <row r="92" spans="1:5">
      <c r="A92">
        <v>91</v>
      </c>
      <c r="B92">
        <f t="shared" si="17"/>
        <v>900</v>
      </c>
      <c r="C92">
        <v>180.01</v>
      </c>
      <c r="D92">
        <f t="shared" si="18"/>
        <v>900.01</v>
      </c>
      <c r="E92">
        <f t="shared" si="19"/>
        <v>0.00999999999953616</v>
      </c>
    </row>
    <row r="93" spans="1:5">
      <c r="A93">
        <v>92</v>
      </c>
      <c r="B93">
        <f t="shared" ref="B93:B98" si="20">10*(ROW()-2)</f>
        <v>910</v>
      </c>
      <c r="C93">
        <v>190.11</v>
      </c>
      <c r="D93">
        <f t="shared" si="18"/>
        <v>910.11</v>
      </c>
      <c r="E93">
        <f t="shared" si="19"/>
        <v>0.109999999999673</v>
      </c>
    </row>
    <row r="94" spans="1:5">
      <c r="A94">
        <v>93</v>
      </c>
      <c r="B94">
        <f t="shared" si="20"/>
        <v>920</v>
      </c>
      <c r="C94">
        <v>200.18</v>
      </c>
      <c r="D94">
        <f t="shared" si="18"/>
        <v>920.18</v>
      </c>
      <c r="E94">
        <f t="shared" si="19"/>
        <v>0.179999999999609</v>
      </c>
    </row>
    <row r="95" spans="1:5">
      <c r="A95">
        <v>94</v>
      </c>
      <c r="B95">
        <f t="shared" si="20"/>
        <v>930</v>
      </c>
      <c r="C95">
        <v>210.17</v>
      </c>
      <c r="D95">
        <f t="shared" si="18"/>
        <v>930.17</v>
      </c>
      <c r="E95">
        <f t="shared" si="19"/>
        <v>0.169999999999618</v>
      </c>
    </row>
    <row r="96" spans="1:5">
      <c r="A96">
        <v>95</v>
      </c>
      <c r="B96">
        <f t="shared" si="20"/>
        <v>940</v>
      </c>
      <c r="C96">
        <v>220.16</v>
      </c>
      <c r="D96">
        <f t="shared" si="18"/>
        <v>940.16</v>
      </c>
      <c r="E96">
        <f t="shared" si="19"/>
        <v>0.159999999999627</v>
      </c>
    </row>
    <row r="97" spans="1:5">
      <c r="A97">
        <v>96</v>
      </c>
      <c r="B97">
        <f t="shared" si="20"/>
        <v>950</v>
      </c>
      <c r="C97">
        <v>229.99</v>
      </c>
      <c r="D97">
        <f t="shared" si="18"/>
        <v>949.99</v>
      </c>
      <c r="E97">
        <f t="shared" si="19"/>
        <v>-0.0100000000004457</v>
      </c>
    </row>
    <row r="98" spans="1:5">
      <c r="A98">
        <v>97</v>
      </c>
      <c r="B98">
        <f t="shared" si="20"/>
        <v>960</v>
      </c>
      <c r="C98">
        <v>240.03</v>
      </c>
      <c r="D98">
        <f t="shared" si="18"/>
        <v>960.03</v>
      </c>
      <c r="E98">
        <f t="shared" si="19"/>
        <v>0.029999999999518</v>
      </c>
    </row>
    <row r="99" spans="1:5">
      <c r="A99">
        <v>98</v>
      </c>
      <c r="B99">
        <f t="shared" ref="B99:B118" si="21">10*(ROW()-2)</f>
        <v>970</v>
      </c>
      <c r="C99">
        <v>250.04</v>
      </c>
      <c r="D99">
        <f t="shared" si="18"/>
        <v>970.04</v>
      </c>
      <c r="E99">
        <f t="shared" si="19"/>
        <v>0.0399999999995089</v>
      </c>
    </row>
    <row r="100" spans="1:5">
      <c r="A100">
        <v>99</v>
      </c>
      <c r="B100">
        <f t="shared" si="21"/>
        <v>980</v>
      </c>
      <c r="C100">
        <v>260.03</v>
      </c>
      <c r="D100">
        <f t="shared" si="18"/>
        <v>980.03</v>
      </c>
      <c r="E100">
        <f t="shared" si="19"/>
        <v>0.029999999999518</v>
      </c>
    </row>
    <row r="101" spans="1:5">
      <c r="A101">
        <v>100</v>
      </c>
      <c r="B101">
        <f t="shared" si="21"/>
        <v>990</v>
      </c>
      <c r="C101">
        <v>270.05</v>
      </c>
      <c r="D101">
        <f t="shared" si="18"/>
        <v>990.05</v>
      </c>
      <c r="E101">
        <f t="shared" si="19"/>
        <v>0.0499999999994998</v>
      </c>
    </row>
    <row r="102" spans="1:5">
      <c r="A102">
        <v>101</v>
      </c>
      <c r="B102">
        <f t="shared" si="21"/>
        <v>1000</v>
      </c>
      <c r="C102">
        <v>280.04</v>
      </c>
      <c r="D102">
        <f t="shared" si="18"/>
        <v>1000.04</v>
      </c>
      <c r="E102">
        <f t="shared" si="19"/>
        <v>0.0399999999995089</v>
      </c>
    </row>
    <row r="103" spans="1:5">
      <c r="A103">
        <v>102</v>
      </c>
      <c r="B103">
        <f t="shared" si="21"/>
        <v>1010</v>
      </c>
      <c r="C103">
        <v>290.06</v>
      </c>
      <c r="D103">
        <f t="shared" si="18"/>
        <v>1010.06</v>
      </c>
      <c r="E103">
        <f t="shared" si="19"/>
        <v>0.0599999999994907</v>
      </c>
    </row>
    <row r="104" spans="1:5">
      <c r="A104">
        <v>103</v>
      </c>
      <c r="B104">
        <f t="shared" si="21"/>
        <v>1020</v>
      </c>
      <c r="C104">
        <v>300.03</v>
      </c>
      <c r="D104">
        <f t="shared" si="18"/>
        <v>1020.03</v>
      </c>
      <c r="E104">
        <f t="shared" si="19"/>
        <v>0.029999999999518</v>
      </c>
    </row>
    <row r="105" spans="1:5">
      <c r="A105">
        <v>104</v>
      </c>
      <c r="B105">
        <f t="shared" si="21"/>
        <v>1030</v>
      </c>
      <c r="C105">
        <v>310.02</v>
      </c>
      <c r="D105">
        <f t="shared" si="18"/>
        <v>1030.02</v>
      </c>
      <c r="E105">
        <f t="shared" si="19"/>
        <v>0.0199999999995271</v>
      </c>
    </row>
    <row r="106" spans="1:5">
      <c r="A106">
        <v>105</v>
      </c>
      <c r="B106">
        <f t="shared" si="21"/>
        <v>1040</v>
      </c>
      <c r="C106">
        <v>320.02</v>
      </c>
      <c r="D106">
        <f t="shared" si="18"/>
        <v>1040.02</v>
      </c>
      <c r="E106">
        <f t="shared" si="19"/>
        <v>0.0199999999995271</v>
      </c>
    </row>
    <row r="107" spans="1:5">
      <c r="A107">
        <v>106</v>
      </c>
      <c r="B107">
        <f t="shared" si="21"/>
        <v>1050</v>
      </c>
      <c r="C107">
        <v>330.01</v>
      </c>
      <c r="D107">
        <f t="shared" si="18"/>
        <v>1050.01</v>
      </c>
      <c r="E107">
        <f t="shared" si="19"/>
        <v>0.00999999999953616</v>
      </c>
    </row>
    <row r="108" spans="1:5">
      <c r="A108">
        <v>107</v>
      </c>
      <c r="B108">
        <f t="shared" si="21"/>
        <v>1060</v>
      </c>
      <c r="C108">
        <v>339.99</v>
      </c>
      <c r="D108">
        <f t="shared" si="18"/>
        <v>1059.99</v>
      </c>
      <c r="E108">
        <f t="shared" si="19"/>
        <v>-0.0100000000004457</v>
      </c>
    </row>
    <row r="109" spans="1:5">
      <c r="A109">
        <v>108</v>
      </c>
      <c r="B109">
        <f t="shared" si="21"/>
        <v>1070</v>
      </c>
      <c r="C109">
        <v>350.02</v>
      </c>
      <c r="D109">
        <f t="shared" si="18"/>
        <v>1070.02</v>
      </c>
      <c r="E109">
        <f t="shared" si="19"/>
        <v>0.0199999999995271</v>
      </c>
    </row>
    <row r="110" spans="1:5">
      <c r="A110">
        <v>109</v>
      </c>
      <c r="B110">
        <f t="shared" si="21"/>
        <v>1080</v>
      </c>
      <c r="C110">
        <v>0.06</v>
      </c>
      <c r="D110">
        <f t="shared" si="18"/>
        <v>1080.06</v>
      </c>
      <c r="E110">
        <f t="shared" si="19"/>
        <v>0.0599999999994907</v>
      </c>
    </row>
    <row r="111" spans="1:5">
      <c r="A111">
        <v>110</v>
      </c>
      <c r="B111">
        <f t="shared" si="21"/>
        <v>1090</v>
      </c>
      <c r="C111">
        <v>10.09</v>
      </c>
      <c r="D111">
        <f t="shared" si="18"/>
        <v>1090.09</v>
      </c>
      <c r="E111">
        <f t="shared" si="19"/>
        <v>0.0899999999994634</v>
      </c>
    </row>
    <row r="112" spans="1:5">
      <c r="A112">
        <v>111</v>
      </c>
      <c r="B112">
        <f t="shared" si="21"/>
        <v>1100</v>
      </c>
      <c r="C112">
        <v>20.1</v>
      </c>
      <c r="D112">
        <f t="shared" si="18"/>
        <v>1100.1</v>
      </c>
      <c r="E112">
        <f t="shared" si="19"/>
        <v>0.0999999999994543</v>
      </c>
    </row>
    <row r="113" spans="1:5">
      <c r="A113">
        <v>112</v>
      </c>
      <c r="B113">
        <f t="shared" si="21"/>
        <v>1110</v>
      </c>
      <c r="C113">
        <v>30.11</v>
      </c>
      <c r="D113">
        <f t="shared" si="18"/>
        <v>1110.11</v>
      </c>
      <c r="E113">
        <f t="shared" si="19"/>
        <v>0.109999999999445</v>
      </c>
    </row>
    <row r="114" spans="1:5">
      <c r="A114">
        <v>113</v>
      </c>
      <c r="B114">
        <f t="shared" si="21"/>
        <v>1120</v>
      </c>
      <c r="C114">
        <v>40.08</v>
      </c>
      <c r="D114">
        <f t="shared" si="18"/>
        <v>1120.08</v>
      </c>
      <c r="E114">
        <f t="shared" si="19"/>
        <v>0.0799999999994725</v>
      </c>
    </row>
    <row r="115" spans="1:5">
      <c r="A115">
        <v>114</v>
      </c>
      <c r="B115">
        <f t="shared" si="21"/>
        <v>1130</v>
      </c>
      <c r="C115">
        <v>50.09</v>
      </c>
      <c r="D115">
        <f t="shared" si="18"/>
        <v>1130.09</v>
      </c>
      <c r="E115">
        <f t="shared" si="19"/>
        <v>0.0899999999994634</v>
      </c>
    </row>
    <row r="116" spans="1:5">
      <c r="A116">
        <v>115</v>
      </c>
      <c r="B116">
        <f t="shared" si="21"/>
        <v>1140</v>
      </c>
      <c r="C116">
        <v>60.11</v>
      </c>
      <c r="D116">
        <f t="shared" si="18"/>
        <v>1140.11</v>
      </c>
      <c r="E116">
        <f t="shared" si="19"/>
        <v>0.109999999999445</v>
      </c>
    </row>
    <row r="117" spans="1:5">
      <c r="A117">
        <v>116</v>
      </c>
      <c r="B117">
        <f t="shared" si="21"/>
        <v>1150</v>
      </c>
      <c r="C117">
        <v>70.09</v>
      </c>
      <c r="D117">
        <f t="shared" si="18"/>
        <v>1150.09</v>
      </c>
      <c r="E117">
        <f t="shared" si="19"/>
        <v>0.0899999999994634</v>
      </c>
    </row>
    <row r="118" spans="1:5">
      <c r="A118">
        <v>117</v>
      </c>
      <c r="B118">
        <f t="shared" si="21"/>
        <v>1160</v>
      </c>
      <c r="C118">
        <v>80.07</v>
      </c>
      <c r="D118">
        <f t="shared" si="18"/>
        <v>1160.07</v>
      </c>
      <c r="E118">
        <f t="shared" si="19"/>
        <v>0.0699999999994816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勇往直前</cp:lastModifiedBy>
  <dcterms:created xsi:type="dcterms:W3CDTF">2026-01-23T09:12:00Z</dcterms:created>
  <dcterms:modified xsi:type="dcterms:W3CDTF">2026-02-05T03:30:29Z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5A177954CFE24592A1008058C09F7BF0_11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